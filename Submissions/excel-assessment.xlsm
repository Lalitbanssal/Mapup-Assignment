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b368\Downloads\submissions\"/>
    </mc:Choice>
  </mc:AlternateContent>
  <xr:revisionPtr revIDLastSave="0" documentId="13_ncr:1_{D477B381-C487-4951-BA38-E77A1D6C9946}" xr6:coauthVersionLast="47" xr6:coauthVersionMax="47" xr10:uidLastSave="{00000000-0000-0000-0000-000000000000}"/>
  <bookViews>
    <workbookView xWindow="384" yWindow="384" windowWidth="21588" windowHeight="924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20" l="1"/>
  <c r="C29" i="20"/>
  <c r="C30" i="20"/>
  <c r="C31" i="20"/>
  <c r="C32" i="20"/>
  <c r="C33" i="20"/>
  <c r="C34" i="20"/>
  <c r="C35" i="20"/>
  <c r="C24" i="20"/>
  <c r="C25" i="20"/>
  <c r="C26" i="20"/>
  <c r="C27" i="20"/>
  <c r="C23" i="20"/>
  <c r="C22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8" i="18" s="1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  <c r="D5" i="15"/>
  <c r="E28" i="18" l="1"/>
  <c r="E29" i="18"/>
  <c r="C29" i="18"/>
  <c r="D30" i="18"/>
  <c r="C28" i="18"/>
  <c r="E30" i="18"/>
  <c r="B29" i="18"/>
  <c r="B30" i="18"/>
  <c r="F29" i="18"/>
  <c r="F30" i="18"/>
  <c r="C30" i="18"/>
  <c r="B28" i="18"/>
  <c r="D28" i="18"/>
  <c r="D29" i="18"/>
</calcChain>
</file>

<file path=xl/sharedStrings.xml><?xml version="1.0" encoding="utf-8"?>
<sst xmlns="http://schemas.openxmlformats.org/spreadsheetml/2006/main" count="410" uniqueCount="186">
  <si>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</si>
  <si>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</si>
  <si>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</si>
  <si>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</si>
  <si>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</si>
  <si>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</si>
  <si>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</si>
  <si>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</si>
  <si>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</si>
  <si>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</si>
  <si>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</si>
  <si>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</si>
  <si>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</si>
  <si>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</si>
  <si>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</si>
  <si>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</si>
  <si>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</si>
  <si>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</si>
  <si>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</si>
  <si>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</si>
  <si>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</si>
  <si>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</si>
  <si>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</si>
  <si>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</si>
  <si>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</si>
  <si>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</si>
  <si>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</si>
  <si>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</si>
  <si>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</si>
  <si>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</si>
  <si>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</si>
  <si>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</si>
  <si>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</si>
  <si>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</si>
  <si>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</si>
  <si>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</si>
  <si>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</si>
  <si>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</si>
  <si>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</si>
  <si>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</si>
  <si>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</si>
  <si>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</si>
  <si>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</si>
  <si>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</si>
  <si>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</si>
  <si>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</si>
  <si>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</si>
  <si>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</si>
  <si>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</si>
  <si>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</si>
  <si>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</si>
  <si>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</si>
  <si>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</si>
  <si>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</si>
  <si>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</si>
  <si>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</si>
  <si>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</si>
  <si>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</si>
  <si>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</si>
  <si>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</si>
  <si>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</si>
  <si>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</si>
  <si>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</si>
  <si>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</si>
  <si>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</si>
  <si>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</si>
  <si>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</si>
  <si>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</si>
  <si>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</si>
  <si>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</si>
  <si>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</si>
  <si>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</si>
  <si>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</si>
  <si>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</si>
  <si>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</si>
  <si>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</si>
  <si>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</si>
  <si>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</si>
  <si>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</si>
  <si>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</si>
  <si>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</si>
  <si>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</si>
  <si>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</si>
  <si>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</si>
  <si>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</si>
  <si>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</si>
  <si>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</si>
  <si>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</si>
  <si>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</si>
  <si>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</si>
  <si>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</si>
  <si>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</si>
  <si>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</si>
  <si>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</si>
  <si>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</si>
  <si>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</si>
  <si>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</si>
  <si>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</si>
  <si>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</si>
  <si>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</si>
  <si>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</si>
  <si>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</si>
  <si>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</si>
  <si>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</si>
  <si>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</si>
  <si>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</si>
  <si>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</si>
  <si>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</si>
  <si>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</si>
  <si>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</si>
  <si>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</si>
  <si>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</si>
  <si>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</si>
  <si>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</si>
  <si>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</si>
  <si>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</si>
  <si>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</si>
  <si>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</si>
  <si>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</si>
  <si>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</si>
  <si>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</si>
  <si>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</si>
  <si>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</si>
  <si>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</si>
  <si>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</si>
  <si>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</si>
  <si>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</si>
  <si>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</si>
  <si>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</si>
  <si>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</si>
  <si>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</si>
  <si>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</si>
  <si>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</si>
  <si>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</si>
  <si>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</si>
  <si>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</si>
  <si>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</si>
  <si>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</si>
  <si>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</si>
  <si>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</si>
  <si>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</si>
  <si>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</si>
  <si>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</si>
  <si>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</si>
  <si>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</si>
  <si>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</si>
  <si>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</si>
  <si>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</si>
  <si>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</si>
  <si>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</si>
  <si>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</si>
  <si>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</si>
  <si>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</si>
  <si>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</si>
  <si>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</si>
  <si>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</si>
  <si>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</si>
  <si>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</si>
  <si>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</si>
  <si>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</si>
  <si>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</si>
  <si>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</si>
  <si>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</si>
  <si>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</si>
  <si>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</si>
  <si>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</si>
  <si>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</si>
  <si>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</si>
  <si>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</si>
  <si>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</si>
  <si>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</si>
  <si>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</si>
  <si>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</si>
  <si>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</si>
  <si>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</si>
  <si>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</si>
  <si>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</si>
  <si>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</si>
  <si>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SUMIF(C12:C21,"&lt;&gt;#N/A",C12:C21)</t>
  </si>
  <si>
    <t xml:space="preserve">this function helps to calculate the sum of all values except the values in rows #NA after that </t>
  </si>
  <si>
    <t>COUNTIF(C12:C21,"#N/A")</t>
  </si>
  <si>
    <t>this function helps to calculate the no of times the #NA occurs in rows</t>
  </si>
  <si>
    <t xml:space="preserve">COUNTIF(C12:C21,"#N/A")*20 </t>
  </si>
  <si>
    <t>this will help us to add 20 each of NA values of rows</t>
  </si>
  <si>
    <t xml:space="preserve">Here I use text to columns and the deleminter is"-" </t>
  </si>
  <si>
    <t>Here I used index and match function to get the row and column from Table_A so to get the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</si>
</sst>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8" fillId="6" borderId="0" xfId="0" applyFont="1" applyFill="1"/>
    <xf numFmtId="0" fontId="3" fillId="7" borderId="0" xfId="0" applyFont="1" applyFill="1"/>
    <xf numFmtId="0" fontId="18" fillId="0" borderId="0" xfId="0" applyFont="1"/>
    <xf numFmtId="0" fontId="8" fillId="7" borderId="0" xfId="0" applyFont="1" applyFill="1"/>
    <xf numFmtId="0" fontId="3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35" activePane="bottomLeft" state="frozen"/>
      <selection pane="bottomLeft" activeCell="H41" sqref="H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">
      <c r="A41" s="49" t="s">
        <v>104</v>
      </c>
      <c r="B41" s="49"/>
      <c r="C41" s="49"/>
      <c r="D41" s="49"/>
      <c r="E41" s="49"/>
      <c r="F41" s="49"/>
      <c r="G41" s="49"/>
      <c r="H41" s="1">
        <f>SUMIF(H2:H40,"&gt;20")</f>
        <v>1473.0000000000002</v>
      </c>
    </row>
  </sheetData>
  <mergeCells count="1">
    <mergeCell ref="A41:G41"/>
  </mergeCells>
  <conditionalFormatting sqref="A1:A1048576">
    <cfRule type="duplicateValues" dxfId="4" priority="6"/>
  </conditionalFormatting>
  <conditionalFormatting sqref="B1:B40 B42:B1048576">
    <cfRule type="duplicateValues" dxfId="3" priority="5"/>
  </conditionalFormatting>
  <conditionalFormatting sqref="E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{FFBC385A-FA5E-4623-BC5D-866B9BC2B330}</x14:id>
        </ext>
      </extLst>
    </cfRule>
    <cfRule type="cellIs" dxfId="2" priority="3" operator="equal">
      <formula>0</formula>
    </cfRule>
  </conditionalFormatting>
  <conditionalFormatting sqref="G2:X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BC385A-FA5E-4623-BC5D-866B9BC2B3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5" sqref="B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D5" s="1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VLOOKUP(A6,Dataset!$A1:$X40,8,FALSE)</f>
        <v>3.6</v>
      </c>
      <c r="C6" s="12">
        <f>VLOOKUP(A6,Dataset!$A1:$X40,14,FALSE)</f>
        <v>7.6</v>
      </c>
      <c r="D6" s="12">
        <f>VLOOKUP(A6,Dataset!$A1:$X40,18,FALSE)</f>
        <v>4.2</v>
      </c>
      <c r="E6" s="12">
        <f>VLOOKUP(A6,Dataset!$A1:$X40,20,FALSE)</f>
        <v>8.9</v>
      </c>
      <c r="F6" s="8">
        <f>VLOOKUP(A6,Dataset!$A1:$X40,22,FALSE)</f>
        <v>4.2</v>
      </c>
    </row>
    <row r="7" spans="1:7" ht="14.4" x14ac:dyDescent="0.3">
      <c r="A7" s="7" t="s">
        <v>4</v>
      </c>
      <c r="B7" s="12">
        <f>VLOOKUP(A7,Dataset!$A2:$X41,8,FALSE)</f>
        <v>3.6</v>
      </c>
      <c r="C7" s="12">
        <f>VLOOKUP(A7,Dataset!$A2:$X41,14,FALSE)</f>
        <v>7.6</v>
      </c>
      <c r="D7" s="12">
        <f>VLOOKUP(A7,Dataset!$A2:$X41,18,FALSE)</f>
        <v>4.2</v>
      </c>
      <c r="E7" s="12">
        <f>VLOOKUP(A7,Dataset!$A2:$X41,20,FALSE)</f>
        <v>8.9</v>
      </c>
      <c r="F7" s="8">
        <f>VLOOKUP(A7,Dataset!$A2:$X41,22,FALSE)</f>
        <v>4.2</v>
      </c>
    </row>
    <row r="8" spans="1:7" ht="14.4" x14ac:dyDescent="0.3">
      <c r="A8" s="7" t="s">
        <v>7</v>
      </c>
      <c r="B8" s="12">
        <f>VLOOKUP(A8,Dataset!$A3:$X42,8,FALSE)</f>
        <v>5.4</v>
      </c>
      <c r="C8" s="12">
        <f>VLOOKUP(A8,Dataset!$A3:$X42,14,FALSE)</f>
        <v>11.1</v>
      </c>
      <c r="D8" s="12">
        <f>VLOOKUP(A8,Dataset!$A3:$X42,18,FALSE)</f>
        <v>5.8</v>
      </c>
      <c r="E8" s="12">
        <f>VLOOKUP(A8,Dataset!$A3:$X42,20,FALSE)</f>
        <v>12.2</v>
      </c>
      <c r="F8" s="8">
        <f>VLOOKUP(A8,Dataset!$A3:$X42,22,FALSE)</f>
        <v>5.8</v>
      </c>
    </row>
    <row r="9" spans="1:7" ht="14.4" x14ac:dyDescent="0.3">
      <c r="A9" s="7" t="s">
        <v>8</v>
      </c>
      <c r="B9" s="12">
        <f>VLOOKUP(A9,Dataset!$A4:$X43,8,FALSE)</f>
        <v>6.6</v>
      </c>
      <c r="C9" s="12">
        <f>VLOOKUP(A9,Dataset!$A4:$X43,14,FALSE)</f>
        <v>13.3</v>
      </c>
      <c r="D9" s="12">
        <f>VLOOKUP(A9,Dataset!$A4:$X43,18,FALSE)</f>
        <v>8.1</v>
      </c>
      <c r="E9" s="12">
        <f>VLOOKUP(A9,Dataset!$A4:$X43,20,FALSE)</f>
        <v>17</v>
      </c>
      <c r="F9" s="8">
        <f>VLOOKUP(A9,Dataset!$A4:$X43,22,FALSE)</f>
        <v>8.1</v>
      </c>
    </row>
    <row r="10" spans="1:7" ht="14.4" x14ac:dyDescent="0.3">
      <c r="A10" s="7" t="s">
        <v>11</v>
      </c>
      <c r="B10" s="12">
        <f>VLOOKUP(A10,Dataset!$A5:$X44,8,FALSE)</f>
        <v>13.8</v>
      </c>
      <c r="C10" s="12">
        <f>VLOOKUP(A10,Dataset!$A5:$X44,14,FALSE)</f>
        <v>28.3</v>
      </c>
      <c r="D10" s="12">
        <f>VLOOKUP(A10,Dataset!$A5:$X44,18,FALSE)</f>
        <v>16.100000000000001</v>
      </c>
      <c r="E10" s="12">
        <f>VLOOKUP(A10,Dataset!$A5:$X44,20,FALSE)</f>
        <v>32.799999999999997</v>
      </c>
      <c r="F10" s="8">
        <f>VLOOKUP(A10,Dataset!$A5:$X44,22,FALSE)</f>
        <v>16.100000000000001</v>
      </c>
    </row>
    <row r="11" spans="1:7" ht="14.4" x14ac:dyDescent="0.3">
      <c r="A11" s="7" t="s">
        <v>12</v>
      </c>
      <c r="B11" s="12">
        <f>VLOOKUP(A11,Dataset!$A6:$X45,8,FALSE)</f>
        <v>17.3</v>
      </c>
      <c r="C11" s="12">
        <f>VLOOKUP(A11,Dataset!$A6:$X45,14,FALSE)</f>
        <v>35.200000000000003</v>
      </c>
      <c r="D11" s="12">
        <f>VLOOKUP(A11,Dataset!$A6:$X45,18,FALSE)</f>
        <v>21.3</v>
      </c>
      <c r="E11" s="12">
        <f>VLOOKUP(A11,Dataset!$A6:$X45,20,FALSE)</f>
        <v>43</v>
      </c>
      <c r="F11" s="8">
        <f>VLOOKUP(A11,Dataset!$A6:$X45,22,FALSE)</f>
        <v>21.3</v>
      </c>
    </row>
    <row r="12" spans="1:7" ht="14.4" x14ac:dyDescent="0.3">
      <c r="A12" s="7" t="s">
        <v>14</v>
      </c>
      <c r="B12" s="12">
        <f>VLOOKUP(A12,Dataset!$A7:$X46,8,FALSE)</f>
        <v>27.5</v>
      </c>
      <c r="C12" s="12">
        <f>VLOOKUP(A12,Dataset!$A7:$X46,14,FALSE)</f>
        <v>55.6</v>
      </c>
      <c r="D12" s="12">
        <f>VLOOKUP(A12,Dataset!$A7:$X46,18,FALSE)</f>
        <v>33.799999999999997</v>
      </c>
      <c r="E12" s="12">
        <f>VLOOKUP(A12,Dataset!$A7:$X46,20,FALSE)</f>
        <v>67.900000000000006</v>
      </c>
      <c r="F12" s="8">
        <f>VLOOKUP(A12,Dataset!$A7:$X46,22,FALSE)</f>
        <v>33.799999999999997</v>
      </c>
    </row>
    <row r="13" spans="1:7" ht="14.4" x14ac:dyDescent="0.3">
      <c r="A13" s="7" t="s">
        <v>15</v>
      </c>
      <c r="B13" s="12">
        <f>VLOOKUP(A13,Dataset!$A8:$X47,8,FALSE)</f>
        <v>0</v>
      </c>
      <c r="C13" s="12">
        <f>VLOOKUP(A13,Dataset!$A8:$X47,14,FALSE)</f>
        <v>0</v>
      </c>
      <c r="D13" s="12">
        <f>VLOOKUP(A13,Dataset!$A8:$X47,18,FALSE)</f>
        <v>0</v>
      </c>
      <c r="E13" s="12">
        <f>VLOOKUP(A13,Dataset!$A8:$X47,20,FALSE)</f>
        <v>0</v>
      </c>
      <c r="F13" s="8">
        <f>VLOOKUP(A13,Dataset!$A8:$X47,22,FALSE)</f>
        <v>0</v>
      </c>
    </row>
    <row r="14" spans="1:7" ht="14.4" x14ac:dyDescent="0.3">
      <c r="A14" s="7" t="s">
        <v>16</v>
      </c>
      <c r="B14" s="12">
        <f>VLOOKUP(A14,Dataset!$A9:$X48,8,FALSE)</f>
        <v>32.1</v>
      </c>
      <c r="C14" s="12">
        <f>VLOOKUP(A14,Dataset!$A9:$X48,14,FALSE)</f>
        <v>61.5</v>
      </c>
      <c r="D14" s="12">
        <f>VLOOKUP(A14,Dataset!$A9:$X48,18,FALSE)</f>
        <v>40.1</v>
      </c>
      <c r="E14" s="12">
        <f>VLOOKUP(A14,Dataset!$A9:$X48,20,FALSE)</f>
        <v>76.599999999999994</v>
      </c>
      <c r="F14" s="8">
        <f>VLOOKUP(A14,Dataset!$A9:$X48,22,FALSE)</f>
        <v>40.1</v>
      </c>
    </row>
    <row r="15" spans="1:7" ht="14.4" x14ac:dyDescent="0.3">
      <c r="A15" s="7" t="s">
        <v>18</v>
      </c>
      <c r="B15" s="12">
        <f>VLOOKUP(A15,Dataset!$A10:$X49,8,FALSE)</f>
        <v>39.299999999999997</v>
      </c>
      <c r="C15" s="12">
        <f>VLOOKUP(A15,Dataset!$A10:$X49,14,FALSE)</f>
        <v>79.599999999999994</v>
      </c>
      <c r="D15" s="12">
        <f>VLOOKUP(A15,Dataset!$A10:$X49,18,FALSE)</f>
        <v>47.9</v>
      </c>
      <c r="E15" s="12">
        <f>VLOOKUP(A15,Dataset!$A10:$X49,20,FALSE)</f>
        <v>96.8</v>
      </c>
      <c r="F15" s="8">
        <f>VLOOKUP(A15,Dataset!$A10:$X49,22,FALSE)</f>
        <v>47.9</v>
      </c>
    </row>
    <row r="16" spans="1:7" ht="14.4" x14ac:dyDescent="0.3">
      <c r="A16" s="7" t="s">
        <v>20</v>
      </c>
      <c r="B16" s="12">
        <f>VLOOKUP(A16,Dataset!$A11:$X50,8,FALSE)</f>
        <v>42.3</v>
      </c>
      <c r="C16" s="12">
        <f>VLOOKUP(A16,Dataset!$A11:$X50,14,FALSE)</f>
        <v>85.4</v>
      </c>
      <c r="D16" s="12">
        <f>VLOOKUP(A16,Dataset!$A11:$X50,18,FALSE)</f>
        <v>52.3</v>
      </c>
      <c r="E16" s="12">
        <f>VLOOKUP(A16,Dataset!$A11:$X50,20,FALSE)</f>
        <v>106.1</v>
      </c>
      <c r="F16" s="8">
        <f>VLOOKUP(A16,Dataset!$A11:$X50,22,FALSE)</f>
        <v>52.3</v>
      </c>
    </row>
    <row r="17" spans="1:6" ht="14.4" x14ac:dyDescent="0.3">
      <c r="A17" s="7" t="s">
        <v>22</v>
      </c>
      <c r="B17" s="12">
        <f>VLOOKUP(A17,Dataset!$A12:$X51,8,FALSE)</f>
        <v>45.5</v>
      </c>
      <c r="C17" s="12">
        <f>VLOOKUP(A17,Dataset!$A12:$X51,14,FALSE)</f>
        <v>92.1</v>
      </c>
      <c r="D17" s="12">
        <f>VLOOKUP(A17,Dataset!$A12:$X51,18,FALSE)</f>
        <v>57</v>
      </c>
      <c r="E17" s="12">
        <f>VLOOKUP(A17,Dataset!$A12:$X51,20,FALSE)</f>
        <v>115.1</v>
      </c>
      <c r="F17" s="8">
        <f>VLOOKUP(A17,Dataset!$A12:$X51,22,FALSE)</f>
        <v>57</v>
      </c>
    </row>
    <row r="18" spans="1:6" ht="14.4" x14ac:dyDescent="0.3">
      <c r="A18" s="7" t="s">
        <v>23</v>
      </c>
      <c r="B18" s="12">
        <f>VLOOKUP(A18,Dataset!$A13:$X52,8,FALSE)</f>
        <v>50.1</v>
      </c>
      <c r="C18" s="12">
        <f>VLOOKUP(A18,Dataset!$A13:$X52,14,FALSE)</f>
        <v>101.3</v>
      </c>
      <c r="D18" s="12">
        <f>VLOOKUP(A18,Dataset!$A13:$X52,18,FALSE)</f>
        <v>61.4</v>
      </c>
      <c r="E18" s="12">
        <f>VLOOKUP(A18,Dataset!$A13:$X52,20,FALSE)</f>
        <v>124.4</v>
      </c>
      <c r="F18" s="8">
        <f>VLOOKUP(A18,Dataset!$A13:$X52,22,FALSE)</f>
        <v>61.4</v>
      </c>
    </row>
    <row r="19" spans="1:6" ht="14.4" x14ac:dyDescent="0.3">
      <c r="A19" s="7" t="s">
        <v>24</v>
      </c>
      <c r="B19" s="12">
        <f>VLOOKUP(A19,Dataset!$A14:$X53,8,FALSE)</f>
        <v>52.3</v>
      </c>
      <c r="C19" s="12">
        <f>VLOOKUP(A19,Dataset!$A14:$X53,14,FALSE)</f>
        <v>106.1</v>
      </c>
      <c r="D19" s="12">
        <f>VLOOKUP(A19,Dataset!$A14:$X53,18,FALSE)</f>
        <v>63.6</v>
      </c>
      <c r="E19" s="12">
        <f>VLOOKUP(A19,Dataset!$A14:$X53,20,FALSE)</f>
        <v>128.6</v>
      </c>
      <c r="F19" s="8">
        <f>VLOOKUP(A19,Dataset!$A14:$X53,22,FALSE)</f>
        <v>63.6</v>
      </c>
    </row>
    <row r="20" spans="1:6" ht="14.4" x14ac:dyDescent="0.3">
      <c r="A20" s="7" t="s">
        <v>28</v>
      </c>
      <c r="B20" s="12">
        <f>VLOOKUP(A20,Dataset!$A15:$X54,8,FALSE)</f>
        <v>0</v>
      </c>
      <c r="C20" s="12">
        <f>VLOOKUP(A20,Dataset!$A15:$X54,14,FALSE)</f>
        <v>0</v>
      </c>
      <c r="D20" s="12">
        <f>VLOOKUP(A20,Dataset!$A15:$X54,18,FALSE)</f>
        <v>0</v>
      </c>
      <c r="E20" s="12">
        <f>VLOOKUP(A20,Dataset!$A15:$X54,20,FALSE)</f>
        <v>0</v>
      </c>
      <c r="F20" s="8">
        <f>VLOOKUP(A20,Dataset!$A15:$X54,22,FALSE)</f>
        <v>0</v>
      </c>
    </row>
    <row r="21" spans="1:6" ht="14.4" x14ac:dyDescent="0.3">
      <c r="A21" s="7" t="s">
        <v>57</v>
      </c>
      <c r="B21" s="12">
        <f>VLOOKUP(A21,Dataset!$A16:$X55,8,FALSE)</f>
        <v>61.4</v>
      </c>
      <c r="C21" s="12">
        <f>VLOOKUP(A21,Dataset!$A16:$X55,14,FALSE)</f>
        <v>124.4</v>
      </c>
      <c r="D21" s="12">
        <f>VLOOKUP(A21,Dataset!$A16:$X55,18,FALSE)</f>
        <v>75</v>
      </c>
      <c r="E21" s="12">
        <f>VLOOKUP(A21,Dataset!$A16:$X55,20,FALSE)</f>
        <v>151.5</v>
      </c>
      <c r="F21" s="8">
        <f>VLOOKUP(A21,Dataset!$A16:$X55,22,FALSE)</f>
        <v>75</v>
      </c>
    </row>
    <row r="22" spans="1:6" ht="14.4" x14ac:dyDescent="0.3">
      <c r="A22" s="7" t="s">
        <v>58</v>
      </c>
      <c r="B22" s="12">
        <f>VLOOKUP(A22,Dataset!$A17:$X56,8,FALSE)</f>
        <v>-1</v>
      </c>
      <c r="C22" s="12">
        <f>VLOOKUP(A22,Dataset!$A17:$X56,14,FALSE)</f>
        <v>-1</v>
      </c>
      <c r="D22" s="12">
        <f>VLOOKUP(A22,Dataset!$A17:$X56,18,FALSE)</f>
        <v>-1</v>
      </c>
      <c r="E22" s="12">
        <f>VLOOKUP(A22,Dataset!$A17:$X56,20,FALSE)</f>
        <v>-1</v>
      </c>
      <c r="F22" s="8">
        <f>VLOOKUP(A22,Dataset!$A17:$X56,22,FALSE)</f>
        <v>-1</v>
      </c>
    </row>
    <row r="23" spans="1:6" ht="14.4" x14ac:dyDescent="0.3">
      <c r="A23" s="7" t="s">
        <v>31</v>
      </c>
      <c r="B23" s="12">
        <f>VLOOKUP(A23,Dataset!$A18:$X57,8,FALSE)</f>
        <v>65.900000000000006</v>
      </c>
      <c r="C23" s="12">
        <f>VLOOKUP(A23,Dataset!$A18:$X57,14,FALSE)</f>
        <v>133.4</v>
      </c>
      <c r="D23" s="12">
        <f>VLOOKUP(A23,Dataset!$A18:$X57,18,FALSE)</f>
        <v>79.400000000000006</v>
      </c>
      <c r="E23" s="12">
        <f>VLOOKUP(A23,Dataset!$A18:$X57,20,FALSE)</f>
        <v>160.9</v>
      </c>
      <c r="F23" s="8">
        <f>VLOOKUP(A23,Dataset!$A18:$X57,22,FALSE)</f>
        <v>79.400000000000006</v>
      </c>
    </row>
    <row r="24" spans="1:6" ht="14.4" x14ac:dyDescent="0.3">
      <c r="A24" s="7" t="s">
        <v>32</v>
      </c>
      <c r="B24" s="12">
        <f>VLOOKUP(A24,Dataset!$A19:$X58,8,FALSE)</f>
        <v>-1</v>
      </c>
      <c r="C24" s="12">
        <f>VLOOKUP(A24,Dataset!$A19:$X58,14,FALSE)</f>
        <v>-1</v>
      </c>
      <c r="D24" s="12">
        <f>VLOOKUP(A24,Dataset!$A19:$X58,18,FALSE)</f>
        <v>-1</v>
      </c>
      <c r="E24" s="12">
        <f>VLOOKUP(A24,Dataset!$A19:$X58,20,FALSE)</f>
        <v>-1</v>
      </c>
      <c r="F24" s="8">
        <f>VLOOKUP(A24,Dataset!$A19:$X58,22,FALSE)</f>
        <v>-1</v>
      </c>
    </row>
    <row r="25" spans="1:6" ht="14.4" x14ac:dyDescent="0.3">
      <c r="A25" s="7" t="s">
        <v>34</v>
      </c>
      <c r="B25" s="12">
        <f>VLOOKUP(A25,Dataset!$A20:$X59,8,FALSE)</f>
        <v>63.6</v>
      </c>
      <c r="C25" s="12">
        <f>VLOOKUP(A25,Dataset!$A20:$X59,14,FALSE)</f>
        <v>128.6</v>
      </c>
      <c r="D25" s="12">
        <f>VLOOKUP(A25,Dataset!$A20:$X59,18,FALSE)</f>
        <v>79.400000000000006</v>
      </c>
      <c r="E25" s="12">
        <f>VLOOKUP(A25,Dataset!$A20:$X59,20,FALSE)</f>
        <v>160.9</v>
      </c>
      <c r="F25" s="8">
        <f>VLOOKUP(A25,Dataset!$A20:$X59,22,FALSE)</f>
        <v>79.400000000000006</v>
      </c>
    </row>
    <row r="26" spans="1:6" ht="14.4" x14ac:dyDescent="0.3">
      <c r="A26" s="7" t="s">
        <v>37</v>
      </c>
      <c r="B26" s="12">
        <f>VLOOKUP(A26,Dataset!$A21:$X60,8,FALSE)</f>
        <v>72.8</v>
      </c>
      <c r="C26" s="12">
        <f>VLOOKUP(A26,Dataset!$A21:$X60,14,FALSE)</f>
        <v>146.80000000000001</v>
      </c>
      <c r="D26" s="12">
        <f>VLOOKUP(A26,Dataset!$A21:$X60,18,FALSE)</f>
        <v>90.9</v>
      </c>
      <c r="E26" s="12">
        <f>VLOOKUP(A26,Dataset!$A21:$X60,20,FALSE)</f>
        <v>183.5</v>
      </c>
      <c r="F26" s="8">
        <f>VLOOKUP(A26,Dataset!$A21:$X60,22,FALSE)</f>
        <v>90.9</v>
      </c>
    </row>
    <row r="27" spans="1:6" ht="14.4" x14ac:dyDescent="0.3">
      <c r="A27" s="7" t="s">
        <v>39</v>
      </c>
      <c r="B27" s="12">
        <f>VLOOKUP(A27,Dataset!$A22:$X61,8,FALSE)</f>
        <v>77.2</v>
      </c>
      <c r="C27" s="12">
        <f>VLOOKUP(A27,Dataset!$A22:$X61,14,FALSE)</f>
        <v>156.4</v>
      </c>
      <c r="D27" s="12">
        <f>VLOOKUP(A27,Dataset!$A22:$X61,18,FALSE)</f>
        <v>93.1</v>
      </c>
      <c r="E27" s="12">
        <f>VLOOKUP(A27,Dataset!$A22:$X61,20,FALSE)</f>
        <v>188.1</v>
      </c>
      <c r="F27" s="8">
        <f>VLOOKUP(A27,Dataset!$A22:$X61,22,FALSE)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77.2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30.831818181818186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H7" sqref="H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154</v>
      </c>
      <c r="B6" s="40"/>
    </row>
    <row r="7" spans="1:10" ht="18" x14ac:dyDescent="0.35">
      <c r="A7" s="43"/>
      <c r="B7" s="40"/>
      <c r="H7" s="46" t="s">
        <v>184</v>
      </c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6"/>
  <sheetViews>
    <sheetView topLeftCell="A8"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6" ht="14.4" x14ac:dyDescent="0.3">
      <c r="A17" s="32">
        <v>44932</v>
      </c>
      <c r="B17" s="17" t="s">
        <v>155</v>
      </c>
      <c r="C17" s="17">
        <v>150</v>
      </c>
    </row>
    <row r="18" spans="1:6" ht="14.4" x14ac:dyDescent="0.3">
      <c r="A18" s="32">
        <v>44933</v>
      </c>
      <c r="B18" s="17" t="s">
        <v>156</v>
      </c>
      <c r="C18" s="17">
        <v>80</v>
      </c>
    </row>
    <row r="19" spans="1:6" ht="14.4" x14ac:dyDescent="0.3">
      <c r="A19" s="32">
        <v>44934</v>
      </c>
      <c r="B19" s="17" t="s">
        <v>157</v>
      </c>
      <c r="C19" s="17" t="e">
        <v>#N/A</v>
      </c>
    </row>
    <row r="20" spans="1:6" ht="14.4" x14ac:dyDescent="0.3">
      <c r="A20" s="32">
        <v>44935</v>
      </c>
      <c r="B20" s="17" t="s">
        <v>158</v>
      </c>
      <c r="C20" s="17">
        <v>30</v>
      </c>
    </row>
    <row r="21" spans="1:6" ht="14.4" x14ac:dyDescent="0.3">
      <c r="A21" s="32">
        <v>44936</v>
      </c>
      <c r="B21" s="17" t="s">
        <v>159</v>
      </c>
      <c r="C21" s="17" t="e">
        <v>#N/A</v>
      </c>
    </row>
    <row r="22" spans="1:6" ht="14.4" x14ac:dyDescent="0.3">
      <c r="B22" s="17" t="s">
        <v>160</v>
      </c>
      <c r="C22" s="25">
        <f>SUMIF(C12:C21,"&lt;&gt;#N/A",C12:C21)+COUNTIF(C12:C21,"#N/A")*20</f>
        <v>600</v>
      </c>
    </row>
    <row r="24" spans="1:6" x14ac:dyDescent="0.3">
      <c r="C24" s="45" t="s">
        <v>178</v>
      </c>
      <c r="D24" s="45"/>
      <c r="E24" s="45"/>
      <c r="F24" s="45" t="s">
        <v>179</v>
      </c>
    </row>
    <row r="25" spans="1:6" x14ac:dyDescent="0.3">
      <c r="C25" s="45" t="s">
        <v>180</v>
      </c>
      <c r="D25" s="45"/>
      <c r="E25" s="45"/>
      <c r="F25" s="45" t="s">
        <v>181</v>
      </c>
    </row>
    <row r="26" spans="1:6" x14ac:dyDescent="0.3">
      <c r="C26" s="45" t="s">
        <v>182</v>
      </c>
      <c r="D26" s="45"/>
      <c r="E26" s="45"/>
      <c r="F26" s="45" t="s">
        <v>183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F26" sqref="F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7">
        <f>INDEX($A$9:$J$18,MATCH(VLOOKUP(A23,$M$9:$N$18,2,0),$A$9:$A$18,0),MATCH(VLOOKUP(B23,$M$9:$N$18,2,0),$A$9:$A$18,0))</f>
        <v>95</v>
      </c>
    </row>
    <row r="24" spans="1:14" ht="14.4" x14ac:dyDescent="0.3">
      <c r="A24" s="7">
        <v>10100</v>
      </c>
      <c r="B24" s="12">
        <v>10104</v>
      </c>
      <c r="C24" s="47">
        <f t="shared" ref="C24:C35" si="0">INDEX($A$9:$J$18,MATCH(VLOOKUP(A24,$M$9:$N$18,2,0),$A$9:$A$18,0),MATCH(VLOOKUP(B24,$M$9:$N$18,2,0),$A$9:$A$18,0))</f>
        <v>-1</v>
      </c>
      <c r="F24" s="48" t="s">
        <v>185</v>
      </c>
    </row>
    <row r="25" spans="1:14" ht="14.4" x14ac:dyDescent="0.3">
      <c r="A25" s="7">
        <v>10108</v>
      </c>
      <c r="B25" s="12">
        <v>10102</v>
      </c>
      <c r="C25" s="47">
        <f t="shared" si="0"/>
        <v>160</v>
      </c>
    </row>
    <row r="26" spans="1:14" ht="14.4" x14ac:dyDescent="0.3">
      <c r="A26" s="7">
        <v>10100</v>
      </c>
      <c r="B26" s="12">
        <v>10106</v>
      </c>
      <c r="C26" s="47">
        <f t="shared" si="0"/>
        <v>185</v>
      </c>
    </row>
    <row r="27" spans="1:14" ht="14.4" x14ac:dyDescent="0.3">
      <c r="A27" s="7">
        <v>10108</v>
      </c>
      <c r="B27" s="12">
        <v>10110</v>
      </c>
      <c r="C27" s="47">
        <f t="shared" si="0"/>
        <v>50</v>
      </c>
    </row>
    <row r="28" spans="1:14" ht="14.4" x14ac:dyDescent="0.3">
      <c r="A28" s="7">
        <v>10102</v>
      </c>
      <c r="B28" s="12">
        <v>10104</v>
      </c>
      <c r="C28" s="47">
        <f t="shared" si="0"/>
        <v>-1</v>
      </c>
    </row>
    <row r="29" spans="1:14" ht="14.4" x14ac:dyDescent="0.3">
      <c r="A29" s="7">
        <v>10106</v>
      </c>
      <c r="B29" s="12">
        <v>10108</v>
      </c>
      <c r="C29" s="47">
        <f t="shared" si="0"/>
        <v>70</v>
      </c>
    </row>
    <row r="30" spans="1:14" ht="14.4" x14ac:dyDescent="0.3">
      <c r="A30" s="7">
        <v>10102</v>
      </c>
      <c r="B30" s="12">
        <v>10106</v>
      </c>
      <c r="C30" s="47">
        <f t="shared" si="0"/>
        <v>90</v>
      </c>
    </row>
    <row r="31" spans="1:14" ht="14.4" x14ac:dyDescent="0.3">
      <c r="A31" s="7">
        <v>10110</v>
      </c>
      <c r="B31" s="12">
        <v>10114</v>
      </c>
      <c r="C31" s="47">
        <f t="shared" si="0"/>
        <v>180</v>
      </c>
    </row>
    <row r="32" spans="1:14" ht="14.4" x14ac:dyDescent="0.3">
      <c r="A32" s="7">
        <v>10104</v>
      </c>
      <c r="B32" s="12">
        <v>10106</v>
      </c>
      <c r="C32" s="47">
        <f t="shared" si="0"/>
        <v>60</v>
      </c>
    </row>
    <row r="33" spans="1:3" ht="14.4" x14ac:dyDescent="0.3">
      <c r="A33" s="7">
        <v>10110</v>
      </c>
      <c r="B33" s="12">
        <v>10112</v>
      </c>
      <c r="C33" s="47">
        <f t="shared" si="0"/>
        <v>115</v>
      </c>
    </row>
    <row r="34" spans="1:3" ht="14.4" x14ac:dyDescent="0.3">
      <c r="A34" s="7">
        <v>10100</v>
      </c>
      <c r="B34" s="12">
        <v>10114</v>
      </c>
      <c r="C34" s="47">
        <f t="shared" si="0"/>
        <v>480</v>
      </c>
    </row>
    <row r="35" spans="1:3" ht="14.4" x14ac:dyDescent="0.3">
      <c r="A35" s="9">
        <v>10112</v>
      </c>
      <c r="B35" s="13">
        <v>10116</v>
      </c>
      <c r="C35" s="47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Lalit Bansal BUYER</cp:lastModifiedBy>
  <dcterms:created xsi:type="dcterms:W3CDTF">2015-02-10T17:33:11Z</dcterms:created>
  <dcterms:modified xsi:type="dcterms:W3CDTF">2023-12-09T14:00:01Z</dcterms:modified>
</cp:coreProperties>
</file>